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ulator Page" sheetId="1" r:id="rId4"/>
    <sheet state="visible" name="About Page" sheetId="2" r:id="rId5"/>
    <sheet state="visible" name="Calculator Logic" sheetId="3" r:id="rId6"/>
    <sheet state="hidden" name="Standalone Structure" sheetId="4" r:id="rId7"/>
    <sheet state="hidden" name="Connection Structure" sheetId="5" r:id="rId8"/>
    <sheet state="hidden" name="One Main Structure" sheetId="6" r:id="rId9"/>
  </sheets>
  <definedNames/>
  <calcPr/>
</workbook>
</file>

<file path=xl/sharedStrings.xml><?xml version="1.0" encoding="utf-8"?>
<sst xmlns="http://schemas.openxmlformats.org/spreadsheetml/2006/main" count="217" uniqueCount="183">
  <si>
    <t>📌 Page 1: Calculator Template</t>
  </si>
  <si>
    <r>
      <rPr>
        <b/>
        <sz val="14.0"/>
      </rPr>
      <t xml:space="preserve">I own the domain: </t>
    </r>
    <r>
      <rPr>
        <b/>
        <color rgb="FF1155CC"/>
        <sz val="14.0"/>
        <u/>
      </rPr>
      <t>splitbillsfairly.com</t>
    </r>
  </si>
  <si>
    <t>Metadata:</t>
  </si>
  <si>
    <t>Title:</t>
  </si>
  <si>
    <t>Easy Group Bill Splitter</t>
  </si>
  <si>
    <t>H1:</t>
  </si>
  <si>
    <t>Description:</t>
  </si>
  <si>
    <t xml:space="preserve">Free bill splitter for group expenses. Use the calculator to easily divide group spend to find out how much each person owes. </t>
  </si>
  <si>
    <t>Quick &amp; Easy Bill Splitter</t>
  </si>
  <si>
    <t>Header Anchors: (left to right)</t>
  </si>
  <si>
    <t>Intro (100–150 words):</t>
  </si>
  <si>
    <t>Anchor:</t>
  </si>
  <si>
    <t>SplitBillsFairly</t>
  </si>
  <si>
    <t>Calculator</t>
  </si>
  <si>
    <t>Why Choose Us</t>
  </si>
  <si>
    <t>How Our Calculator Works</t>
  </si>
  <si>
    <t>When to Use</t>
  </si>
  <si>
    <t>FAQ</t>
  </si>
  <si>
    <t>About</t>
  </si>
  <si>
    <t xml:space="preserve">Have a group meal? Spent money on shared expenses for a group trip? Use our simple calculator to quickly and fairly figure out how much each person owes. </t>
  </si>
  <si>
    <t>Where it goes:</t>
  </si>
  <si>
    <t>Top of page</t>
  </si>
  <si>
    <t>Same section</t>
  </si>
  <si>
    <t>What should I use this for section</t>
  </si>
  <si>
    <t>About Page</t>
  </si>
  <si>
    <t>Needs an "embed this tool" button that provides iframe code</t>
  </si>
  <si>
    <t>H2:</t>
  </si>
  <si>
    <t>Split spend between friends or a group using 1 of 2 simple methods.</t>
  </si>
  <si>
    <t>Calculator should have 2 tabs: 1 for each method</t>
  </si>
  <si>
    <t>Even Bill Split</t>
  </si>
  <si>
    <t>Group Bill Expenses</t>
  </si>
  <si>
    <t>These can be H3s</t>
  </si>
  <si>
    <t>Have a single bill that needs to be split between a group? Enter the total spend and number of people to see how much each individual owes.</t>
  </si>
  <si>
    <t>Did each person pay for separate group items instead? Enter the number of people in your group, what each person paid for, and how you want to split the total.</t>
  </si>
  <si>
    <t>These should pop-up when each tab is selected - next to the calculation inputs</t>
  </si>
  <si>
    <r>
      <rPr/>
      <t xml:space="preserve">Calculator element to go here - above the fold: should change based on method selected.
</t>
    </r>
    <r>
      <rPr>
        <color rgb="FF1155CC"/>
        <u/>
      </rPr>
      <t>See calculator logic here</t>
    </r>
  </si>
  <si>
    <t>Why Choos Us Section</t>
  </si>
  <si>
    <t>These are just organizing cells, don't need to put on the website</t>
  </si>
  <si>
    <t>This section can be split into tiles or squares</t>
  </si>
  <si>
    <t>Why Choose the Split Bills Fairly Calculator?</t>
  </si>
  <si>
    <t>Simple to Use:</t>
  </si>
  <si>
    <t>Choose 1 of 2 methods, enter inputs, and get an immediate output.</t>
  </si>
  <si>
    <t>Fairly Split:</t>
  </si>
  <si>
    <t>Your group can choose the method that is most fair for everyone involved.</t>
  </si>
  <si>
    <t>No Second Guessing:</t>
  </si>
  <si>
    <t>Our calculator handles all the math, so you don't have to. Accurate results, so there's no questions or stress on your group.</t>
  </si>
  <si>
    <t>Easily Shared:</t>
  </si>
  <si>
    <t>After the calculation is complete, easily share with the group so everyone can verify and approve.</t>
  </si>
  <si>
    <t>How Our Calculator Works Section</t>
  </si>
  <si>
    <t>How Our Splitter Works</t>
  </si>
  <si>
    <t>Our calculator is based on 2 methods: Even Bill Split &amp; Group Bill Expenses.</t>
  </si>
  <si>
    <t>This is good for: Restaurant Bills, Single Receipts, One-Time Payments, and anything else with a single total to be divided equally amongst all members of the group.</t>
  </si>
  <si>
    <t>This is good for more complex group expenses, like: Camping Trips, Group Vacations, Dinner Partys, Roadtrips, etc - anytime there's more than one expense, people have paid for different things, or the split is not evenly divided amongst the group.</t>
  </si>
  <si>
    <t>What Should I Use This For Section</t>
  </si>
  <si>
    <t>Perfect for All Kinds of Shared Expenses</t>
  </si>
  <si>
    <t>Use our calculator for many different kinds of group spend. Need to figure out how to split a dinner check? Perfect. Need to know how much each friend owes you for that trip? We got you. See more examples below:</t>
  </si>
  <si>
    <t>Restaurant Bills &amp; Checks</t>
  </si>
  <si>
    <t>Split dinner costs amongs friends or family</t>
  </si>
  <si>
    <t>Group Trips</t>
  </si>
  <si>
    <t>One person paid for the Airbnb, one person booked the restaurants, while the other covered activity expenses? Easily split vacation spend amongst the group.</t>
  </si>
  <si>
    <t>Roommate Expenses</t>
  </si>
  <si>
    <t>Divide rent, utilities, food, and any other household costs.</t>
  </si>
  <si>
    <t>Events &amp; Partys</t>
  </si>
  <si>
    <t>Hosting a dinner party and everyone is contributing differently? Fairly split the cost between each person.</t>
  </si>
  <si>
    <t>How do you split a bill evenly?</t>
  </si>
  <si>
    <t>To split a bill evenly, add up the total bill amount and divide it by the number of people sharing it. Each person pays the same amount, regardless of what they ordered or spent.
This method works best when everyone agrees to share the cost equally, such as group meals, shared rides, or household expenses. We call this the Even Bill Split method.</t>
  </si>
  <si>
    <t>Link "We call this..." to Even Bill Split calculator anchor</t>
  </si>
  <si>
    <t>How do you split a bill when everyone owes a different amount?</t>
  </si>
  <si>
    <t>When everyone owes a different amount, each person’s share is calculated based on what they individually ordered or spent.
You enter each person’s amount, then add tax and tip if needed. The total is split proportionally so everyone pays their fair share instead of an equal split. We call this the Group Bill Expenses method.</t>
  </si>
  <si>
    <t>Link "We call this..." to Group Bill Expenses calculator anchor</t>
  </si>
  <si>
    <t>Can I split a bill with tax and tip included?</t>
  </si>
  <si>
    <t>Yes. You can split a bill with tax and tip included by adding them to the total before dividing the amount.
Most bill splitters allow you to include tax and tip so the final amounts reflect what each person actually owes, rather than splitting only the pre-tax total.</t>
  </si>
  <si>
    <t>How do you split a bill with a tip?</t>
  </si>
  <si>
    <t>To split a bill with a tip, calculate the tip amount first (either as a percentage or fixed amount), add it to the bill, and then split the total.
For uneven splits, the tip is typically divided proportionally based on each person’s share of the bill or spend.</t>
  </si>
  <si>
    <t>What's the easiest way to split a bill for a group?</t>
  </si>
  <si>
    <t>To split a bill with a tip, calculate the tip amount first (either as a percentage or fixed amount), add it to the bill, and then split the total.
For uneven splits, the tip is typically divided proportionally based on each person’s share of the bill.</t>
  </si>
  <si>
    <t>Is a bill splitter accurate?</t>
  </si>
  <si>
    <t>Yes, bill splitters are generally accurate for everyday use.
Accuracy depends on entering the correct amounts and choosing the right method (even split vs. individual totals). Minor differences can occur due to rounding, especially when splitting cents across many people.</t>
  </si>
  <si>
    <t>Why do bill splits sometimes differ by a few cents?</t>
  </si>
  <si>
    <t>Small differences happen because money is rounded to two decimal places. When totals are divided, the math doesn’t always split perfectly into cents.
Some bill splitters round up or down slightly so the final amounts add up exactly to the original bill total.</t>
  </si>
  <si>
    <t>What bill split apps are out there?</t>
  </si>
  <si>
    <t>There are several bill splitting apps available, some popular options are: Splitwise, SettleUp, and Splittr.</t>
  </si>
  <si>
    <t>This calculator doesn't require a separate app or account - it's designed for quick and easy splits when you need the math done fast.</t>
  </si>
  <si>
    <t>About Us Preview Section</t>
  </si>
  <si>
    <t>Mini About Us</t>
  </si>
  <si>
    <t>We created our Split Bills Fairly calculator from a love of friendship &amp; comradery, focus on fairness, and knack for building helpful websites. We were tired of someone having to break-out a spreadsheet and do some math on our own, so built a calculator that anyone could use for shared expenses situations. This site is a part of the ads4good Network.</t>
  </si>
  <si>
    <t>Read more about Split Bills Fairly here</t>
  </si>
  <si>
    <t>Link to About page</t>
  </si>
  <si>
    <t>Watermark at the bottom of the page:</t>
  </si>
  <si>
    <t>© 2026 SplitBillsFairly • Built for Good via ads4Good</t>
  </si>
  <si>
    <t>📌 Page 2: About Template</t>
  </si>
  <si>
    <t>About Split Bills Fairly</t>
  </si>
  <si>
    <t>Details:</t>
  </si>
  <si>
    <t>Food, Friends, and Figuring out who owes what. The basis for creating this calculator. Throughout our years, "splitting the bill" has meant different things: splitting a Happy Meal, sharing a lane at the bowling alley, splitting a beer run, or settling up a night out. As our friends, lifestyles, and habits change - one thing remained the same: figuring out who owes what and ensuring everyone is paid fairly.
That's what this calculator was built for. Our goal is to create something helpful and "in the moment" (quick) enough that it's immediately useful.
Our professional jobs have been in website creation and marketing, and we wanted to combine the 3 into 1: love of group experiences + values in helping others + professional skills = this website.</t>
  </si>
  <si>
    <t>A part of the ads for Good network</t>
  </si>
  <si>
    <t>This calculator is a part of ads for Good. They are a mission-driven company focused on the advertising industry - education, illumination, and betterment. Teaching individuals and businesses how to use data and ads to help people, not just profits.</t>
  </si>
  <si>
    <t>Link "ads for Good" here:</t>
  </si>
  <si>
    <t>https://www.ads4good.com/for-good</t>
  </si>
  <si>
    <t>Back to calculator button</t>
  </si>
  <si>
    <t>Check-out the Network Button</t>
  </si>
  <si>
    <t>Go to calculator anchor on main page</t>
  </si>
  <si>
    <r>
      <rPr/>
      <t xml:space="preserve">Go to this link: </t>
    </r>
    <r>
      <rPr>
        <color rgb="FF1155CC"/>
        <u/>
      </rPr>
      <t>https://www.ads4good.com/network</t>
    </r>
  </si>
  <si>
    <t>Inputs:</t>
  </si>
  <si>
    <t>Bill Total</t>
  </si>
  <si>
    <t>Total Number of People</t>
  </si>
  <si>
    <t>Calculation Logic:</t>
  </si>
  <si>
    <t>Hidden, for logic explanation only</t>
  </si>
  <si>
    <t>Make it so they can add as many contributions as they want, and be able to name them</t>
  </si>
  <si>
    <t>Bill Total / # of People</t>
  </si>
  <si>
    <t>People</t>
  </si>
  <si>
    <t>Contribution A To Group Expense: Food</t>
  </si>
  <si>
    <t>Contribution B: Stay</t>
  </si>
  <si>
    <t>People should be able to enter names</t>
  </si>
  <si>
    <t>Person 1</t>
  </si>
  <si>
    <t>Output:</t>
  </si>
  <si>
    <t>Person 2</t>
  </si>
  <si>
    <t>Each Person Owes</t>
  </si>
  <si>
    <t>Calculation Output here</t>
  </si>
  <si>
    <t>Make it so they can add as many people as they want</t>
  </si>
  <si>
    <t>Person 3</t>
  </si>
  <si>
    <t>Person 4</t>
  </si>
  <si>
    <t>If negative then they are just owed money from others</t>
  </si>
  <si>
    <t>If positive, then they owe money to others</t>
  </si>
  <si>
    <t>Hidden, for logic explanation only:</t>
  </si>
  <si>
    <t>Calculate Total Group Spend</t>
  </si>
  <si>
    <t>Calculate Individual Even Split Total</t>
  </si>
  <si>
    <t>Individual Contribution</t>
  </si>
  <si>
    <t>Calculate Amount Owed</t>
  </si>
  <si>
    <t>Order from least to greatest and subtract positive from negative until numbers are whole:</t>
  </si>
  <si>
    <t>Already Paid:</t>
  </si>
  <si>
    <t>Owes</t>
  </si>
  <si>
    <t>To Whom</t>
  </si>
  <si>
    <t>I can work on the logic here if you'd like, haven't nailed down a way to mold it by group situation</t>
  </si>
  <si>
    <t>-</t>
  </si>
  <si>
    <t>All to Person 1</t>
  </si>
  <si>
    <t>$200 to Person 1, $525 to Person 2</t>
  </si>
  <si>
    <t>🔥 OPTION 1 — 100 standalone sites, no linking</t>
  </si>
  <si>
    <t>“Unique websites with unique domains, all separate of one another”</t>
  </si>
  <si>
    <t>PROS</t>
  </si>
  <si>
    <t>Lowest footprint → safest from Google penalties.</t>
  </si>
  <si>
    <t>Each site can rank independently without dragging others down.</t>
  </si>
  <si>
    <t>Highest asset value if you ever sell them (each domain is an asset).</t>
  </si>
  <si>
    <t>If one gets hit, the others survive.</t>
  </si>
  <si>
    <t>CONS</t>
  </si>
  <si>
    <t>MOST work to maintain.</t>
  </si>
  <si>
    <t>No ability to pass authority between sites.</t>
  </si>
  <si>
    <t>Harder to grow all of them quickly without link-building.</t>
  </si>
  <si>
    <t>GOOD FOR:</t>
  </si>
  <si>
    <t>People who want ultimate safety, a diversified SEO portfolio, or plan to flip sites.</t>
  </si>
  <si>
    <t>Try with 3-5 sites, should be lowest difficulty KWs</t>
  </si>
  <si>
    <t>🔥 OPTION 3 — 100 standalone sites, but ALL link to ONE master hub</t>
  </si>
  <si>
    <t>“Unique websites with unique domains, all linking to each other on one main master site”</t>
  </si>
  <si>
    <t>This is the “hub domain” model.</t>
  </si>
  <si>
    <t>Builds a high-authority central website very quickly.</t>
  </si>
  <si>
    <t>The hub can rank for big money keywords.</t>
  </si>
  <si>
    <t>Each small utility site can get traffic AND push authority back to the mothership.</t>
  </si>
  <si>
    <t>Looks less like a PBN because links converge to one place, not a web.</t>
  </si>
  <si>
    <t>Still requires careful footprint variation.</t>
  </si>
  <si>
    <t>Hub can be a single point of failure (if hub is penalized, flow is disrupted).</t>
  </si>
  <si>
    <t>Must be done naturally (e.g., shared research site, brand, directory).</t>
  </si>
  <si>
    <t>People who want one main brand + a bunch of feeder sites.</t>
  </si>
  <si>
    <t>This is very powerful when done right.</t>
  </si>
  <si>
    <t>Use this for main ads for good page</t>
  </si>
  <si>
    <t>🔥 OPTION 4 — 100 tools in subfolders of ONE giant site (Recommended for revenue)</t>
  </si>
  <si>
    <t>“One main master site that has the same domain for all websites, but they are just… [subfolders]”</t>
  </si>
  <si>
    <t>This is the highest-LEVERAGE model.</t>
  </si>
  <si>
    <t>One domain accumulates ALL authority.</t>
  </si>
  <si>
    <t>Every new page/tool ranks faster because domain authority stacks.</t>
  </si>
  <si>
    <t>Easiest to manage (one CMS, one sitemap, one hosting bill).</t>
  </si>
  <si>
    <t>One backlink benefits ALL 100 tools.</t>
  </si>
  <si>
    <t>No footprint risk at all.</t>
  </si>
  <si>
    <t>You can use:</t>
  </si>
  <si>
    <t>/walking-calorie-calculator/</t>
  </si>
  <si>
    <t>/dog-age-calculator/</t>
  </si>
  <si>
    <t>/pregnancy-conception-calculator/</t>
  </si>
  <si>
    <t>/loan-amortization-calculator/</t>
  </si>
  <si>
    <t>You concentrate all power on one monster domain.</t>
  </si>
  <si>
    <t>Less defensible if the domain gets penalized.</t>
  </si>
  <si>
    <t>Harder to sell individual tools.</t>
  </si>
  <si>
    <t>Harder to brand if topics are wildly unrelated.</t>
  </si>
  <si>
    <t>Your stated goal: “Manage 100+ sites and maximize monthly revenue FAST.”</t>
  </si>
  <si>
    <t>This is BY FAR the most efficient choice.</t>
  </si>
  <si>
    <t xml:space="preserve">Try with 3-5 sites, in different categories but the same utility type.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</si>
</sst>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2">
    <font>
      <sz val="10.0"/>
      <color rgb="FF000000"/>
      <name val="Arial"/>
      <scheme val="minor"/>
    </font>
    <font>
      <b/>
      <sz val="18.0"/>
      <color theme="1"/>
      <name val="Arial"/>
      <scheme val="minor"/>
    </font>
    <font>
      <b/>
      <u/>
      <sz val="14.0"/>
      <color rgb="FF0000FF"/>
    </font>
    <font>
      <color theme="1"/>
      <name val="Arial"/>
      <scheme val="minor"/>
    </font>
    <font>
      <b/>
      <sz val="12.0"/>
      <color theme="1"/>
      <name val="Arial"/>
      <scheme val="minor"/>
    </font>
    <font>
      <u/>
      <color rgb="FF0000FF"/>
    </font>
    <font>
      <sz val="9.0"/>
      <color theme="1"/>
      <name val="Arial"/>
    </font>
    <font>
      <sz val="12.0"/>
      <color theme="1"/>
      <name val="Arial"/>
      <scheme val="minor"/>
    </font>
    <font>
      <u/>
      <color rgb="FF0000FF"/>
    </font>
    <font>
      <u/>
      <color rgb="FF0000FF"/>
    </font>
    <font>
      <b/>
      <sz val="24.0"/>
      <color theme="1"/>
      <name val="Arial"/>
      <scheme val="minor"/>
    </font>
    <font>
      <b/>
      <sz val="14.0"/>
      <color theme="1"/>
      <name val="Arial"/>
      <scheme val="minor"/>
    </font>
  </fonts>
  <fills count="9">
    <fill>
      <patternFill patternType="none"/>
    </fill>
    <fill>
      <patternFill patternType="lightGray"/>
    </fill>
    <fill>
      <patternFill patternType="solid">
        <fgColor rgb="FFF9CB9C"/>
        <bgColor rgb="FFF9CB9C"/>
      </patternFill>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FFF7ED"/>
        <bgColor rgb="FFFFF7ED"/>
      </patternFill>
    </fill>
    <fill>
      <patternFill patternType="solid">
        <fgColor rgb="FF999999"/>
        <bgColor rgb="FF999999"/>
      </patternFill>
    </fill>
    <fill>
      <patternFill patternType="solid">
        <fgColor rgb="FFBF9000"/>
        <bgColor rgb="FFBF9000"/>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4" fontId="1" numFmtId="0" xfId="0" applyAlignment="1" applyFill="1" applyFont="1">
      <alignment readingOrder="0"/>
    </xf>
    <xf borderId="0" fillId="0" fontId="1" numFmtId="0" xfId="0" applyFont="1"/>
    <xf borderId="0" fillId="0" fontId="3" numFmtId="0" xfId="0" applyAlignment="1" applyFont="1">
      <alignment readingOrder="0"/>
    </xf>
    <xf borderId="0" fillId="0" fontId="1" numFmtId="0" xfId="0" applyAlignment="1" applyFont="1">
      <alignment readingOrder="0"/>
    </xf>
    <xf borderId="0" fillId="5" fontId="3" numFmtId="0" xfId="0" applyAlignment="1" applyFill="1" applyFont="1">
      <alignment readingOrder="0"/>
    </xf>
    <xf borderId="0" fillId="5" fontId="3" numFmtId="0" xfId="0" applyAlignment="1" applyFont="1">
      <alignment readingOrder="0" shrinkToFit="0" wrapText="1"/>
    </xf>
    <xf borderId="0" fillId="0" fontId="1" numFmtId="0" xfId="0" applyAlignment="1" applyFont="1">
      <alignment readingOrder="0" shrinkToFit="0" wrapText="1"/>
    </xf>
    <xf borderId="0" fillId="5" fontId="3" numFmtId="0" xfId="0" applyAlignment="1" applyFont="1">
      <alignment horizontal="center" readingOrder="0" shrinkToFit="0" wrapText="1"/>
    </xf>
    <xf borderId="0" fillId="0" fontId="1" numFmtId="0" xfId="0" applyAlignment="1" applyFont="1">
      <alignment horizontal="center" readingOrder="0"/>
    </xf>
    <xf borderId="0" fillId="0" fontId="4" numFmtId="0" xfId="0" applyAlignment="1" applyFont="1">
      <alignment readingOrder="0" shrinkToFit="0" wrapText="1"/>
    </xf>
    <xf borderId="0" fillId="0" fontId="3" numFmtId="0" xfId="0" applyAlignment="1" applyFont="1">
      <alignment readingOrder="0" shrinkToFit="0" wrapText="1"/>
    </xf>
    <xf borderId="0" fillId="5" fontId="5" numFmtId="0" xfId="0" applyAlignment="1" applyFont="1">
      <alignment horizontal="center" readingOrder="0" shrinkToFit="0" vertical="center" wrapText="1"/>
    </xf>
    <xf borderId="0" fillId="0" fontId="3" numFmtId="0" xfId="0" applyAlignment="1" applyFont="1">
      <alignment readingOrder="0"/>
    </xf>
    <xf borderId="0" fillId="0" fontId="3" numFmtId="0" xfId="0" applyAlignment="1" applyFont="1">
      <alignment readingOrder="0" shrinkToFit="0" vertical="center" wrapText="1"/>
    </xf>
    <xf borderId="0" fillId="6" fontId="6" numFmtId="0" xfId="0" applyAlignment="1" applyFill="1" applyFont="1">
      <alignment horizontal="left" readingOrder="0"/>
    </xf>
    <xf borderId="0" fillId="0" fontId="7" numFmtId="0" xfId="0" applyAlignment="1" applyFont="1">
      <alignment readingOrder="0" shrinkToFit="0" vertical="center" wrapText="1"/>
    </xf>
    <xf borderId="0" fillId="0" fontId="8" numFmtId="0" xfId="0" applyAlignment="1" applyFont="1">
      <alignment readingOrder="0"/>
    </xf>
    <xf borderId="0" fillId="4" fontId="1" numFmtId="0" xfId="0" applyAlignment="1" applyFont="1">
      <alignment readingOrder="0" shrinkToFit="0" wrapText="1"/>
    </xf>
    <xf borderId="0" fillId="5" fontId="9" numFmtId="0" xfId="0" applyAlignment="1" applyFont="1">
      <alignment readingOrder="0" shrinkToFit="0" wrapText="1"/>
    </xf>
    <xf borderId="0" fillId="7" fontId="3" numFmtId="0" xfId="0" applyFill="1" applyFont="1"/>
    <xf borderId="0" fillId="0" fontId="3" numFmtId="164" xfId="0" applyFont="1" applyNumberFormat="1"/>
    <xf borderId="0" fillId="0" fontId="3" numFmtId="165" xfId="0" applyAlignment="1" applyFont="1" applyNumberFormat="1">
      <alignment readingOrder="0"/>
    </xf>
    <xf borderId="0" fillId="0" fontId="3" numFmtId="164" xfId="0" applyAlignment="1" applyFont="1" applyNumberFormat="1">
      <alignment readingOrder="0"/>
    </xf>
    <xf borderId="0" fillId="5" fontId="3" numFmtId="0" xfId="0" applyAlignment="1" applyFont="1">
      <alignment readingOrder="0" shrinkToFit="0" vertical="center" wrapText="1"/>
    </xf>
    <xf borderId="0" fillId="0" fontId="3" numFmtId="165" xfId="0" applyFont="1" applyNumberFormat="1"/>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1" numFmtId="0" xfId="0" applyFont="1"/>
    <xf borderId="0" fillId="8" fontId="3" numFmtId="0" xfId="0" applyAlignment="1" applyFill="1" applyFont="1">
      <alignment readingOrder="0"/>
    </xf>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itbillsfairly.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ds4good.com/for-good" TargetMode="External"/><Relationship Id="rId2" Type="http://schemas.openxmlformats.org/officeDocument/2006/relationships/hyperlink" Target="https://www.ads4good.com/networ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s>
  <sheetData>
    <row r="1">
      <c r="A1" s="1" t="s">
        <v>0</v>
      </c>
      <c r="F1" s="2" t="s">
        <v>1</v>
      </c>
      <c r="K1" s="3" t="s">
        <v>2</v>
      </c>
    </row>
    <row r="2">
      <c r="A2" s="4"/>
      <c r="K2" s="5" t="s">
        <v>3</v>
      </c>
      <c r="L2" s="5" t="s">
        <v>4</v>
      </c>
    </row>
    <row r="3">
      <c r="A3" s="3" t="s">
        <v>5</v>
      </c>
      <c r="K3" s="5" t="s">
        <v>6</v>
      </c>
      <c r="L3" s="5" t="s">
        <v>7</v>
      </c>
    </row>
    <row r="4">
      <c r="A4" s="6" t="s">
        <v>8</v>
      </c>
    </row>
    <row r="5">
      <c r="A5" s="4"/>
      <c r="J5" s="3" t="s">
        <v>9</v>
      </c>
    </row>
    <row r="6">
      <c r="A6" s="3" t="s">
        <v>10</v>
      </c>
      <c r="J6" s="7" t="s">
        <v>11</v>
      </c>
      <c r="K6" s="8" t="s">
        <v>12</v>
      </c>
      <c r="L6" s="8" t="s">
        <v>13</v>
      </c>
      <c r="M6" s="8" t="s">
        <v>14</v>
      </c>
      <c r="N6" s="8" t="s">
        <v>15</v>
      </c>
      <c r="O6" s="8" t="s">
        <v>16</v>
      </c>
      <c r="P6" s="8" t="s">
        <v>17</v>
      </c>
      <c r="Q6" s="8" t="s">
        <v>18</v>
      </c>
    </row>
    <row r="7">
      <c r="A7" s="9" t="s">
        <v>19</v>
      </c>
      <c r="J7" s="7" t="s">
        <v>20</v>
      </c>
      <c r="K7" s="8" t="s">
        <v>21</v>
      </c>
      <c r="L7" s="8" t="s">
        <v>22</v>
      </c>
      <c r="M7" s="8" t="s">
        <v>22</v>
      </c>
      <c r="N7" s="8" t="s">
        <v>22</v>
      </c>
      <c r="O7" s="8" t="s">
        <v>23</v>
      </c>
      <c r="P7" s="8" t="s">
        <v>22</v>
      </c>
      <c r="Q7" s="8" t="s">
        <v>24</v>
      </c>
    </row>
    <row r="8">
      <c r="A8" s="4"/>
    </row>
    <row r="9">
      <c r="A9" s="1" t="s">
        <v>13</v>
      </c>
      <c r="E9" s="10" t="s">
        <v>25</v>
      </c>
    </row>
    <row r="10">
      <c r="A10" s="4"/>
    </row>
    <row r="11">
      <c r="A11" s="3" t="s">
        <v>26</v>
      </c>
    </row>
    <row r="12">
      <c r="A12" s="6" t="s">
        <v>27</v>
      </c>
    </row>
    <row r="14">
      <c r="A14" s="10" t="s">
        <v>28</v>
      </c>
    </row>
    <row r="15">
      <c r="A15" s="11" t="s">
        <v>29</v>
      </c>
      <c r="E15" s="11" t="s">
        <v>30</v>
      </c>
      <c r="H15" s="10" t="s">
        <v>31</v>
      </c>
    </row>
    <row r="16">
      <c r="A16" s="12" t="s">
        <v>32</v>
      </c>
      <c r="E16" s="13" t="s">
        <v>33</v>
      </c>
    </row>
    <row r="17">
      <c r="H17" s="10" t="s">
        <v>34</v>
      </c>
    </row>
    <row r="21">
      <c r="A21" s="14" t="s">
        <v>35</v>
      </c>
    </row>
    <row r="38">
      <c r="A38" s="1" t="s">
        <v>36</v>
      </c>
      <c r="E38" s="10" t="s">
        <v>37</v>
      </c>
    </row>
    <row r="40">
      <c r="A40" s="3" t="s">
        <v>26</v>
      </c>
      <c r="F40" s="10" t="s">
        <v>38</v>
      </c>
    </row>
    <row r="41">
      <c r="A41" s="6" t="s">
        <v>39</v>
      </c>
    </row>
    <row r="43">
      <c r="A43" s="5" t="s">
        <v>40</v>
      </c>
    </row>
    <row r="44">
      <c r="B44" s="5" t="s">
        <v>41</v>
      </c>
    </row>
    <row r="45">
      <c r="A45" s="5" t="s">
        <v>42</v>
      </c>
    </row>
    <row r="46">
      <c r="B46" s="5" t="s">
        <v>43</v>
      </c>
    </row>
    <row r="47">
      <c r="A47" s="5" t="s">
        <v>44</v>
      </c>
    </row>
    <row r="48">
      <c r="B48" s="5" t="s">
        <v>45</v>
      </c>
    </row>
    <row r="49">
      <c r="A49" s="5" t="s">
        <v>46</v>
      </c>
    </row>
    <row r="50">
      <c r="B50" s="5" t="s">
        <v>47</v>
      </c>
    </row>
    <row r="52">
      <c r="A52" s="1" t="s">
        <v>48</v>
      </c>
    </row>
    <row r="54">
      <c r="A54" s="3" t="s">
        <v>26</v>
      </c>
    </row>
    <row r="55">
      <c r="A55" s="6" t="s">
        <v>49</v>
      </c>
    </row>
    <row r="57">
      <c r="A57" s="5" t="s">
        <v>50</v>
      </c>
    </row>
    <row r="58">
      <c r="A58" s="5" t="s">
        <v>29</v>
      </c>
    </row>
    <row r="59">
      <c r="B59" s="5" t="s">
        <v>51</v>
      </c>
    </row>
    <row r="60">
      <c r="A60" s="5" t="s">
        <v>30</v>
      </c>
    </row>
    <row r="61">
      <c r="B61" s="5" t="s">
        <v>52</v>
      </c>
    </row>
    <row r="63">
      <c r="A63" s="1" t="s">
        <v>53</v>
      </c>
    </row>
    <row r="65">
      <c r="A65" s="3" t="s">
        <v>26</v>
      </c>
    </row>
    <row r="66">
      <c r="A66" s="6" t="s">
        <v>54</v>
      </c>
    </row>
    <row r="67">
      <c r="A67" s="5" t="s">
        <v>55</v>
      </c>
    </row>
    <row r="69">
      <c r="A69" s="5" t="s">
        <v>56</v>
      </c>
    </row>
    <row r="70">
      <c r="B70" s="5" t="s">
        <v>57</v>
      </c>
    </row>
    <row r="71">
      <c r="A71" s="5" t="s">
        <v>58</v>
      </c>
    </row>
    <row r="72">
      <c r="B72" s="5" t="s">
        <v>59</v>
      </c>
    </row>
    <row r="73">
      <c r="A73" s="5" t="s">
        <v>60</v>
      </c>
    </row>
    <row r="74">
      <c r="B74" s="5" t="s">
        <v>61</v>
      </c>
    </row>
    <row r="75">
      <c r="A75" s="5" t="s">
        <v>62</v>
      </c>
    </row>
    <row r="76">
      <c r="B76" s="5" t="s">
        <v>63</v>
      </c>
    </row>
    <row r="78">
      <c r="A78" s="1" t="s">
        <v>17</v>
      </c>
    </row>
    <row r="80">
      <c r="A80" s="3" t="s">
        <v>26</v>
      </c>
    </row>
    <row r="81">
      <c r="A81" s="6" t="s">
        <v>17</v>
      </c>
    </row>
    <row r="83">
      <c r="A83" s="5" t="s">
        <v>64</v>
      </c>
    </row>
    <row r="84">
      <c r="B84" s="5" t="s">
        <v>65</v>
      </c>
      <c r="M84" s="10" t="s">
        <v>66</v>
      </c>
    </row>
    <row r="85">
      <c r="A85" s="5" t="s">
        <v>67</v>
      </c>
    </row>
    <row r="86">
      <c r="B86" s="5" t="s">
        <v>68</v>
      </c>
      <c r="N86" s="10" t="s">
        <v>69</v>
      </c>
    </row>
    <row r="87">
      <c r="A87" s="5" t="s">
        <v>70</v>
      </c>
    </row>
    <row r="88">
      <c r="B88" s="5" t="s">
        <v>71</v>
      </c>
    </row>
    <row r="89">
      <c r="A89" s="5" t="s">
        <v>72</v>
      </c>
    </row>
    <row r="90">
      <c r="B90" s="5" t="s">
        <v>73</v>
      </c>
    </row>
    <row r="91">
      <c r="A91" s="5" t="s">
        <v>74</v>
      </c>
    </row>
    <row r="92">
      <c r="B92" s="5" t="s">
        <v>75</v>
      </c>
    </row>
    <row r="93">
      <c r="A93" s="5" t="s">
        <v>76</v>
      </c>
    </row>
    <row r="94">
      <c r="B94" s="5" t="s">
        <v>77</v>
      </c>
    </row>
    <row r="95">
      <c r="A95" s="5" t="s">
        <v>78</v>
      </c>
    </row>
    <row r="96">
      <c r="B96" s="5" t="s">
        <v>79</v>
      </c>
    </row>
    <row r="97">
      <c r="A97" s="5" t="s">
        <v>80</v>
      </c>
    </row>
    <row r="98">
      <c r="B98" s="15" t="s">
        <v>81</v>
      </c>
    </row>
    <row r="99">
      <c r="B99" s="5" t="s">
        <v>82</v>
      </c>
    </row>
    <row r="101">
      <c r="A101" s="1" t="s">
        <v>83</v>
      </c>
    </row>
    <row r="103">
      <c r="A103" s="3" t="s">
        <v>26</v>
      </c>
    </row>
    <row r="104">
      <c r="A104" s="6" t="s">
        <v>84</v>
      </c>
    </row>
    <row r="105">
      <c r="A105" s="16" t="s">
        <v>85</v>
      </c>
    </row>
    <row r="114">
      <c r="A114" s="5" t="s">
        <v>86</v>
      </c>
      <c r="C114" s="10" t="s">
        <v>87</v>
      </c>
    </row>
    <row r="117">
      <c r="A117" s="3" t="s">
        <v>88</v>
      </c>
    </row>
    <row r="118">
      <c r="A118" s="17" t="s">
        <v>89</v>
      </c>
    </row>
  </sheetData>
  <mergeCells count="27">
    <mergeCell ref="A1:D1"/>
    <mergeCell ref="F1:I1"/>
    <mergeCell ref="K1:N1"/>
    <mergeCell ref="J5:Q5"/>
    <mergeCell ref="A6:C6"/>
    <mergeCell ref="A7:H7"/>
    <mergeCell ref="E9:G9"/>
    <mergeCell ref="A14:G14"/>
    <mergeCell ref="A15:D15"/>
    <mergeCell ref="E15:G15"/>
    <mergeCell ref="H15:J15"/>
    <mergeCell ref="A16:D19"/>
    <mergeCell ref="E16:G19"/>
    <mergeCell ref="H17:J19"/>
    <mergeCell ref="M84:O84"/>
    <mergeCell ref="N86:P86"/>
    <mergeCell ref="A101:D101"/>
    <mergeCell ref="A105:E112"/>
    <mergeCell ref="A117:D117"/>
    <mergeCell ref="A118:C118"/>
    <mergeCell ref="A21:G35"/>
    <mergeCell ref="A38:D38"/>
    <mergeCell ref="E38:G38"/>
    <mergeCell ref="F40:H40"/>
    <mergeCell ref="A52:D52"/>
    <mergeCell ref="A63:D63"/>
    <mergeCell ref="A78:D78"/>
  </mergeCells>
  <hyperlinks>
    <hyperlink r:id="rId1" ref="F1"/>
    <hyperlink display="Calculator element to go here - above the fold: should change based on method selected.&#10;&#10;See calculator logic here" location="'Calculator Logic'!A1" ref="A2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s>
  <sheetData>
    <row r="1">
      <c r="A1" s="1" t="s">
        <v>90</v>
      </c>
    </row>
    <row r="2">
      <c r="A2" s="4"/>
    </row>
    <row r="3">
      <c r="A3" s="3" t="s">
        <v>5</v>
      </c>
    </row>
    <row r="4">
      <c r="A4" s="6" t="s">
        <v>91</v>
      </c>
    </row>
    <row r="5">
      <c r="A5" s="4"/>
    </row>
    <row r="6">
      <c r="A6" s="3" t="s">
        <v>92</v>
      </c>
    </row>
    <row r="7">
      <c r="A7" s="18" t="s">
        <v>93</v>
      </c>
    </row>
    <row r="22">
      <c r="A22" s="3" t="s">
        <v>26</v>
      </c>
    </row>
    <row r="23">
      <c r="A23" s="6" t="s">
        <v>94</v>
      </c>
    </row>
    <row r="24">
      <c r="A24" s="4"/>
    </row>
    <row r="25">
      <c r="A25" s="3" t="s">
        <v>92</v>
      </c>
    </row>
    <row r="26">
      <c r="A26" s="18" t="s">
        <v>95</v>
      </c>
      <c r="I26" s="8" t="s">
        <v>96</v>
      </c>
    </row>
    <row r="27">
      <c r="I27" s="19" t="s">
        <v>97</v>
      </c>
    </row>
    <row r="41">
      <c r="A41" s="20" t="s">
        <v>98</v>
      </c>
      <c r="B41" s="20" t="s">
        <v>99</v>
      </c>
    </row>
    <row r="42">
      <c r="A42" s="8" t="s">
        <v>100</v>
      </c>
      <c r="B42" s="21" t="s">
        <v>101</v>
      </c>
    </row>
  </sheetData>
  <mergeCells count="8">
    <mergeCell ref="A1:D1"/>
    <mergeCell ref="A6:C6"/>
    <mergeCell ref="A7:H20"/>
    <mergeCell ref="A25:C25"/>
    <mergeCell ref="A26:H39"/>
    <mergeCell ref="I26:J26"/>
    <mergeCell ref="B41:C41"/>
    <mergeCell ref="B42:C42"/>
  </mergeCells>
  <hyperlinks>
    <hyperlink r:id="rId1" ref="I27"/>
    <hyperlink r:id="rId2" ref="B4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6" max="6" width="4.25"/>
    <col customWidth="1" min="8" max="8" width="21.25"/>
    <col customWidth="1" min="9" max="9" width="25.88"/>
    <col customWidth="1" min="10" max="10" width="26.0"/>
    <col customWidth="1" min="11" max="11" width="30.63"/>
    <col customWidth="1" min="12" max="12" width="27.75"/>
    <col customWidth="1" min="13" max="13" width="23.88"/>
    <col customWidth="1" min="14" max="14" width="20.38"/>
  </cols>
  <sheetData>
    <row r="1">
      <c r="A1" s="11" t="s">
        <v>29</v>
      </c>
      <c r="F1" s="22"/>
      <c r="I1" s="11" t="s">
        <v>30</v>
      </c>
    </row>
    <row r="2">
      <c r="F2" s="22"/>
    </row>
    <row r="3">
      <c r="A3" s="5" t="s">
        <v>102</v>
      </c>
      <c r="F3" s="22"/>
    </row>
    <row r="4">
      <c r="A4" s="5" t="s">
        <v>103</v>
      </c>
      <c r="F4" s="22"/>
      <c r="M4" s="23"/>
    </row>
    <row r="5">
      <c r="A5" s="5" t="s">
        <v>104</v>
      </c>
      <c r="F5" s="22"/>
      <c r="M5" s="23"/>
    </row>
    <row r="6">
      <c r="F6" s="22"/>
      <c r="M6" s="23"/>
    </row>
    <row r="7">
      <c r="A7" s="5" t="s">
        <v>105</v>
      </c>
      <c r="B7" s="8" t="s">
        <v>106</v>
      </c>
      <c r="F7" s="22"/>
      <c r="K7" s="8" t="s">
        <v>107</v>
      </c>
    </row>
    <row r="8">
      <c r="A8" s="5" t="s">
        <v>108</v>
      </c>
      <c r="F8" s="22"/>
      <c r="I8" s="5" t="s">
        <v>109</v>
      </c>
      <c r="J8" s="13" t="s">
        <v>110</v>
      </c>
      <c r="K8" s="5" t="s">
        <v>111</v>
      </c>
    </row>
    <row r="9">
      <c r="F9" s="22"/>
      <c r="G9" s="8" t="s">
        <v>112</v>
      </c>
      <c r="I9" s="5" t="s">
        <v>113</v>
      </c>
      <c r="J9" s="24">
        <v>200.0</v>
      </c>
      <c r="K9" s="25">
        <v>1000.0</v>
      </c>
    </row>
    <row r="10">
      <c r="A10" s="5" t="s">
        <v>114</v>
      </c>
      <c r="F10" s="22"/>
      <c r="I10" s="5" t="s">
        <v>115</v>
      </c>
      <c r="J10" s="24">
        <v>450.0</v>
      </c>
      <c r="K10" s="25">
        <v>0.0</v>
      </c>
    </row>
    <row r="11">
      <c r="A11" s="5" t="s">
        <v>116</v>
      </c>
      <c r="B11" s="5" t="s">
        <v>117</v>
      </c>
      <c r="F11" s="22"/>
      <c r="G11" s="8" t="s">
        <v>118</v>
      </c>
      <c r="I11" s="5" t="s">
        <v>119</v>
      </c>
      <c r="J11" s="25">
        <v>0.0</v>
      </c>
      <c r="K11" s="25">
        <v>0.0</v>
      </c>
    </row>
    <row r="12">
      <c r="F12" s="22"/>
      <c r="I12" s="5" t="s">
        <v>120</v>
      </c>
      <c r="J12" s="25">
        <v>1000.0</v>
      </c>
      <c r="K12" s="25">
        <v>250.0</v>
      </c>
      <c r="M12" s="8" t="s">
        <v>121</v>
      </c>
    </row>
    <row r="13">
      <c r="F13" s="22"/>
      <c r="M13" s="8" t="s">
        <v>122</v>
      </c>
    </row>
    <row r="14">
      <c r="F14" s="22"/>
      <c r="I14" s="8" t="s">
        <v>123</v>
      </c>
    </row>
    <row r="15">
      <c r="F15" s="22"/>
      <c r="J15" s="5" t="s">
        <v>124</v>
      </c>
      <c r="K15" s="5" t="s">
        <v>125</v>
      </c>
      <c r="L15" s="5" t="s">
        <v>126</v>
      </c>
      <c r="M15" s="5" t="s">
        <v>127</v>
      </c>
      <c r="N15" s="26" t="s">
        <v>128</v>
      </c>
    </row>
    <row r="16">
      <c r="F16" s="22"/>
      <c r="I16" s="5" t="s">
        <v>113</v>
      </c>
      <c r="J16" s="27">
        <f t="shared" ref="J16:J19" si="1">sum($J$9:$K$12)</f>
        <v>2900</v>
      </c>
      <c r="K16" s="27">
        <f t="shared" ref="K16:K19" si="2">J16/counta($I$16:$I$19)</f>
        <v>725</v>
      </c>
      <c r="L16" s="27">
        <f t="shared" ref="L16:L19" si="3">sum(J9:K9)</f>
        <v>1200</v>
      </c>
      <c r="M16" s="27">
        <f t="shared" ref="M16:M19" si="4">K16-L16</f>
        <v>-475</v>
      </c>
    </row>
    <row r="17">
      <c r="F17" s="22"/>
      <c r="I17" s="5" t="s">
        <v>115</v>
      </c>
      <c r="J17" s="27">
        <f t="shared" si="1"/>
        <v>2900</v>
      </c>
      <c r="K17" s="27">
        <f t="shared" si="2"/>
        <v>725</v>
      </c>
      <c r="L17" s="27">
        <f t="shared" si="3"/>
        <v>450</v>
      </c>
      <c r="M17" s="27">
        <f t="shared" si="4"/>
        <v>275</v>
      </c>
    </row>
    <row r="18">
      <c r="F18" s="22"/>
      <c r="I18" s="5" t="s">
        <v>119</v>
      </c>
      <c r="J18" s="27">
        <f t="shared" si="1"/>
        <v>2900</v>
      </c>
      <c r="K18" s="27">
        <f t="shared" si="2"/>
        <v>725</v>
      </c>
      <c r="L18" s="23">
        <f t="shared" si="3"/>
        <v>0</v>
      </c>
      <c r="M18" s="27">
        <f t="shared" si="4"/>
        <v>725</v>
      </c>
    </row>
    <row r="19">
      <c r="F19" s="22"/>
      <c r="I19" s="5" t="s">
        <v>120</v>
      </c>
      <c r="J19" s="27">
        <f t="shared" si="1"/>
        <v>2900</v>
      </c>
      <c r="K19" s="27">
        <f t="shared" si="2"/>
        <v>725</v>
      </c>
      <c r="L19" s="23">
        <f t="shared" si="3"/>
        <v>1250</v>
      </c>
      <c r="M19" s="27">
        <f t="shared" si="4"/>
        <v>-525</v>
      </c>
    </row>
    <row r="20">
      <c r="F20" s="22"/>
    </row>
    <row r="21">
      <c r="F21" s="22"/>
    </row>
    <row r="22">
      <c r="F22" s="22"/>
      <c r="I22" s="5" t="s">
        <v>114</v>
      </c>
      <c r="J22" s="5" t="s">
        <v>129</v>
      </c>
      <c r="K22" s="5" t="s">
        <v>130</v>
      </c>
      <c r="L22" s="5" t="s">
        <v>131</v>
      </c>
      <c r="M22" s="26" t="s">
        <v>132</v>
      </c>
    </row>
    <row r="23">
      <c r="F23" s="22"/>
      <c r="I23" s="5" t="s">
        <v>113</v>
      </c>
      <c r="J23" s="27">
        <f t="shared" ref="J23:J26" si="5">L16</f>
        <v>1200</v>
      </c>
      <c r="K23" s="23">
        <f t="shared" ref="K23:K26" si="6">if(M16&lt;0,0,M16)</f>
        <v>0</v>
      </c>
      <c r="L23" s="5" t="s">
        <v>133</v>
      </c>
    </row>
    <row r="24">
      <c r="F24" s="22"/>
      <c r="I24" s="5" t="s">
        <v>115</v>
      </c>
      <c r="J24" s="27">
        <f t="shared" si="5"/>
        <v>450</v>
      </c>
      <c r="K24" s="23">
        <f t="shared" si="6"/>
        <v>275</v>
      </c>
      <c r="L24" s="5" t="s">
        <v>134</v>
      </c>
    </row>
    <row r="25">
      <c r="F25" s="22"/>
      <c r="I25" s="5" t="s">
        <v>119</v>
      </c>
      <c r="J25" s="23">
        <f t="shared" si="5"/>
        <v>0</v>
      </c>
      <c r="K25" s="23">
        <f t="shared" si="6"/>
        <v>725</v>
      </c>
      <c r="L25" s="5" t="s">
        <v>135</v>
      </c>
    </row>
    <row r="26">
      <c r="F26" s="22"/>
      <c r="I26" s="5" t="s">
        <v>120</v>
      </c>
      <c r="J26" s="23">
        <f t="shared" si="5"/>
        <v>1250</v>
      </c>
      <c r="K26" s="23">
        <f t="shared" si="6"/>
        <v>0</v>
      </c>
      <c r="L26" s="5" t="s">
        <v>133</v>
      </c>
    </row>
    <row r="27">
      <c r="F27" s="22"/>
    </row>
    <row r="28">
      <c r="F28" s="22"/>
    </row>
    <row r="29">
      <c r="F29" s="22"/>
    </row>
    <row r="30">
      <c r="F30" s="22"/>
    </row>
    <row r="31">
      <c r="F31" s="22"/>
    </row>
    <row r="32">
      <c r="F32" s="22"/>
    </row>
    <row r="33">
      <c r="F33" s="22"/>
    </row>
    <row r="34">
      <c r="F34" s="22"/>
    </row>
    <row r="35">
      <c r="F35" s="22"/>
    </row>
  </sheetData>
  <mergeCells count="9">
    <mergeCell ref="N15:N19"/>
    <mergeCell ref="M22:M26"/>
    <mergeCell ref="A1:D1"/>
    <mergeCell ref="I1:K1"/>
    <mergeCell ref="B7:C7"/>
    <mergeCell ref="K7:L7"/>
    <mergeCell ref="G9:H9"/>
    <mergeCell ref="G11:H11"/>
    <mergeCell ref="I14:J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136</v>
      </c>
    </row>
    <row r="2">
      <c r="A2" s="29"/>
    </row>
    <row r="3">
      <c r="A3" s="29"/>
    </row>
    <row r="4">
      <c r="A4" s="28" t="s">
        <v>137</v>
      </c>
    </row>
    <row r="5">
      <c r="A5" s="29"/>
    </row>
    <row r="6">
      <c r="A6" s="29"/>
    </row>
    <row r="7">
      <c r="A7" s="30" t="s">
        <v>138</v>
      </c>
    </row>
    <row r="8">
      <c r="A8" s="31"/>
    </row>
    <row r="9">
      <c r="A9" s="30" t="s">
        <v>139</v>
      </c>
    </row>
    <row r="10">
      <c r="A10" s="31"/>
    </row>
    <row r="11">
      <c r="A11" s="30" t="s">
        <v>140</v>
      </c>
    </row>
    <row r="12">
      <c r="A12" s="31"/>
    </row>
    <row r="13">
      <c r="A13" s="30" t="s">
        <v>141</v>
      </c>
    </row>
    <row r="14">
      <c r="A14" s="31"/>
    </row>
    <row r="15">
      <c r="A15" s="30" t="s">
        <v>142</v>
      </c>
    </row>
    <row r="16">
      <c r="A16" s="31"/>
    </row>
    <row r="17">
      <c r="A17" s="31"/>
    </row>
    <row r="18">
      <c r="A18" s="30" t="s">
        <v>143</v>
      </c>
    </row>
    <row r="19">
      <c r="A19" s="31"/>
    </row>
    <row r="20">
      <c r="A20" s="30" t="s">
        <v>144</v>
      </c>
    </row>
    <row r="21">
      <c r="A21" s="31"/>
    </row>
    <row r="22">
      <c r="A22" s="30" t="s">
        <v>145</v>
      </c>
    </row>
    <row r="23">
      <c r="A23" s="31"/>
    </row>
    <row r="24">
      <c r="A24" s="30" t="s">
        <v>146</v>
      </c>
    </row>
    <row r="25">
      <c r="A25" s="31"/>
    </row>
    <row r="26">
      <c r="A26" s="31"/>
    </row>
    <row r="27">
      <c r="A27" s="30" t="s">
        <v>147</v>
      </c>
    </row>
    <row r="28">
      <c r="A28" s="31"/>
    </row>
    <row r="29">
      <c r="A29" s="31"/>
    </row>
    <row r="30">
      <c r="A30" s="30" t="s">
        <v>148</v>
      </c>
    </row>
    <row r="33">
      <c r="A33" s="32" t="s">
        <v>149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150</v>
      </c>
    </row>
    <row r="2">
      <c r="A2" s="29"/>
    </row>
    <row r="3">
      <c r="A3" s="29"/>
    </row>
    <row r="4">
      <c r="A4" s="28" t="s">
        <v>151</v>
      </c>
    </row>
    <row r="5">
      <c r="A5" s="29"/>
    </row>
    <row r="6">
      <c r="A6" s="29"/>
    </row>
    <row r="7">
      <c r="A7" s="28" t="s">
        <v>152</v>
      </c>
    </row>
    <row r="8">
      <c r="A8" s="29"/>
    </row>
    <row r="9">
      <c r="A9" s="29"/>
    </row>
    <row r="10">
      <c r="A10" s="30" t="s">
        <v>138</v>
      </c>
    </row>
    <row r="11">
      <c r="A11" s="31"/>
    </row>
    <row r="12">
      <c r="A12" s="30" t="s">
        <v>153</v>
      </c>
    </row>
    <row r="13">
      <c r="A13" s="31"/>
    </row>
    <row r="14">
      <c r="A14" s="30" t="s">
        <v>154</v>
      </c>
    </row>
    <row r="15">
      <c r="A15" s="31"/>
    </row>
    <row r="16">
      <c r="A16" s="30" t="s">
        <v>155</v>
      </c>
    </row>
    <row r="17">
      <c r="A17" s="31"/>
    </row>
    <row r="18">
      <c r="A18" s="30" t="s">
        <v>156</v>
      </c>
    </row>
    <row r="19">
      <c r="A19" s="31"/>
    </row>
    <row r="20">
      <c r="A20" s="31"/>
    </row>
    <row r="21">
      <c r="A21" s="30" t="s">
        <v>143</v>
      </c>
    </row>
    <row r="22">
      <c r="A22" s="31"/>
    </row>
    <row r="23">
      <c r="A23" s="30" t="s">
        <v>157</v>
      </c>
    </row>
    <row r="24">
      <c r="A24" s="31"/>
    </row>
    <row r="25">
      <c r="A25" s="30" t="s">
        <v>158</v>
      </c>
    </row>
    <row r="26">
      <c r="A26" s="31"/>
    </row>
    <row r="27">
      <c r="A27" s="30" t="s">
        <v>159</v>
      </c>
    </row>
    <row r="28">
      <c r="A28" s="31"/>
    </row>
    <row r="29">
      <c r="A29" s="31"/>
    </row>
    <row r="30">
      <c r="A30" s="30" t="s">
        <v>147</v>
      </c>
    </row>
    <row r="31">
      <c r="A31" s="31"/>
    </row>
    <row r="32">
      <c r="A32" s="31"/>
    </row>
    <row r="33">
      <c r="A33" s="30" t="s">
        <v>160</v>
      </c>
    </row>
    <row r="34">
      <c r="A34" s="31"/>
    </row>
    <row r="35">
      <c r="A35" s="31"/>
    </row>
    <row r="36">
      <c r="A36" s="30" t="s">
        <v>161</v>
      </c>
    </row>
    <row r="41">
      <c r="A41" s="32" t="s">
        <v>162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163</v>
      </c>
    </row>
    <row r="2">
      <c r="A2" s="29"/>
    </row>
    <row r="3">
      <c r="A3" s="29"/>
    </row>
    <row r="4">
      <c r="A4" s="28" t="s">
        <v>164</v>
      </c>
    </row>
    <row r="5">
      <c r="A5" s="29"/>
    </row>
    <row r="6">
      <c r="A6" s="29"/>
    </row>
    <row r="7">
      <c r="A7" s="28" t="s">
        <v>165</v>
      </c>
    </row>
    <row r="8">
      <c r="A8" s="29"/>
    </row>
    <row r="9">
      <c r="A9" s="33"/>
    </row>
    <row r="10">
      <c r="A10" s="30" t="s">
        <v>138</v>
      </c>
    </row>
    <row r="11">
      <c r="A11" s="34"/>
    </row>
    <row r="12">
      <c r="A12" s="30" t="s">
        <v>166</v>
      </c>
    </row>
    <row r="13">
      <c r="A13" s="34"/>
    </row>
    <row r="14">
      <c r="A14" s="30" t="s">
        <v>167</v>
      </c>
    </row>
    <row r="15">
      <c r="A15" s="34"/>
    </row>
    <row r="16">
      <c r="A16" s="30" t="s">
        <v>168</v>
      </c>
    </row>
    <row r="17">
      <c r="A17" s="31"/>
    </row>
    <row r="18">
      <c r="A18" s="30" t="s">
        <v>169</v>
      </c>
    </row>
    <row r="19">
      <c r="A19" s="31"/>
    </row>
    <row r="20">
      <c r="A20" s="30" t="s">
        <v>170</v>
      </c>
    </row>
    <row r="21">
      <c r="A21" s="31"/>
    </row>
    <row r="22">
      <c r="A22" s="30" t="s">
        <v>171</v>
      </c>
    </row>
    <row r="23">
      <c r="A23" s="31"/>
    </row>
    <row r="24">
      <c r="A24" s="30" t="s">
        <v>172</v>
      </c>
    </row>
    <row r="25">
      <c r="A25" s="31"/>
    </row>
    <row r="26">
      <c r="A26" s="30" t="s">
        <v>173</v>
      </c>
    </row>
    <row r="27">
      <c r="A27" s="34"/>
    </row>
    <row r="28">
      <c r="A28" s="30" t="s">
        <v>174</v>
      </c>
    </row>
    <row r="29">
      <c r="A29" s="31"/>
    </row>
    <row r="30">
      <c r="A30" s="30" t="s">
        <v>175</v>
      </c>
    </row>
    <row r="31">
      <c r="A31" s="31"/>
    </row>
    <row r="32">
      <c r="A32" s="30" t="s">
        <v>176</v>
      </c>
    </row>
    <row r="33">
      <c r="A33" s="34"/>
    </row>
    <row r="34">
      <c r="A34" s="31"/>
    </row>
    <row r="35">
      <c r="A35" s="30" t="s">
        <v>143</v>
      </c>
    </row>
    <row r="36">
      <c r="A36" s="31"/>
    </row>
    <row r="37">
      <c r="A37" s="30" t="s">
        <v>177</v>
      </c>
    </row>
    <row r="38">
      <c r="A38" s="31"/>
    </row>
    <row r="39">
      <c r="A39" s="30" t="s">
        <v>178</v>
      </c>
    </row>
    <row r="40">
      <c r="A40" s="31"/>
    </row>
    <row r="41">
      <c r="A41" s="30" t="s">
        <v>179</v>
      </c>
    </row>
    <row r="42">
      <c r="A42" s="31"/>
    </row>
    <row r="43">
      <c r="A43" s="31"/>
    </row>
    <row r="44">
      <c r="A44" s="30" t="s">
        <v>147</v>
      </c>
    </row>
    <row r="45">
      <c r="A45" s="31"/>
    </row>
    <row r="46">
      <c r="A46" s="31"/>
    </row>
    <row r="47">
      <c r="A47" s="30" t="s">
        <v>180</v>
      </c>
    </row>
    <row r="48">
      <c r="A48" s="31"/>
    </row>
    <row r="49">
      <c r="A49" s="31"/>
    </row>
    <row r="50">
      <c r="A50" s="30" t="s">
        <v>181</v>
      </c>
    </row>
    <row r="56">
      <c r="A56" s="32" t="s">
        <v>182</v>
      </c>
    </row>
  </sheetData>
  <drawing r:id="rId1"/>
</worksheet>
</file>